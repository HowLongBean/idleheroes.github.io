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-juntsai\Downloads\"/>
    </mc:Choice>
  </mc:AlternateContent>
  <xr:revisionPtr revIDLastSave="0" documentId="8_{8CE3F63F-6670-4A60-A17F-A97B6C2E50FC}" xr6:coauthVersionLast="47" xr6:coauthVersionMax="47" xr10:uidLastSave="{00000000-0000-0000-0000-000000000000}"/>
  <bookViews>
    <workbookView xWindow="-51135" yWindow="-2475" windowWidth="28200" windowHeight="20985" activeTab="1" xr2:uid="{AFED1472-1E47-44E1-B500-399C09CF21EA}"/>
  </bookViews>
  <sheets>
    <sheet name="身體組成檢測" sheetId="1" r:id="rId1"/>
    <sheet name="時期比較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7" i="2" l="1"/>
  <c r="G36" i="2"/>
  <c r="G35" i="2"/>
  <c r="G34" i="2"/>
  <c r="G33" i="2"/>
  <c r="G32" i="2"/>
  <c r="G31" i="2"/>
  <c r="G30" i="2"/>
  <c r="G29" i="2"/>
  <c r="G28" i="2"/>
  <c r="G24" i="2"/>
  <c r="G23" i="2"/>
  <c r="G22" i="2"/>
  <c r="G21" i="2"/>
  <c r="G20" i="2"/>
  <c r="G19" i="2"/>
  <c r="G18" i="2"/>
  <c r="G17" i="2"/>
  <c r="G16" i="2"/>
  <c r="G15" i="2"/>
  <c r="G10" i="2"/>
  <c r="G9" i="2"/>
  <c r="G8" i="2"/>
  <c r="G7" i="2"/>
  <c r="G6" i="2"/>
  <c r="G5" i="2"/>
  <c r="G4" i="2"/>
  <c r="H27" i="2"/>
  <c r="H14" i="2"/>
  <c r="H3" i="2"/>
  <c r="E37" i="2"/>
  <c r="E36" i="2"/>
  <c r="E35" i="2"/>
  <c r="E34" i="2"/>
  <c r="E33" i="2"/>
  <c r="E32" i="2"/>
  <c r="E31" i="2"/>
  <c r="E30" i="2"/>
  <c r="E29" i="2"/>
  <c r="E28" i="2"/>
  <c r="E24" i="2"/>
  <c r="E23" i="2"/>
  <c r="E22" i="2"/>
  <c r="E21" i="2"/>
  <c r="E20" i="2"/>
  <c r="E19" i="2"/>
  <c r="E18" i="2"/>
  <c r="E17" i="2"/>
  <c r="E16" i="2"/>
  <c r="E15" i="2"/>
  <c r="E10" i="2"/>
  <c r="E9" i="2"/>
  <c r="E8" i="2"/>
  <c r="E7" i="2"/>
  <c r="E6" i="2"/>
  <c r="E5" i="2"/>
  <c r="E4" i="2"/>
  <c r="F27" i="2"/>
  <c r="F14" i="2"/>
  <c r="F3" i="2"/>
  <c r="C37" i="2"/>
  <c r="C36" i="2"/>
  <c r="C35" i="2"/>
  <c r="C34" i="2"/>
  <c r="C33" i="2"/>
  <c r="C32" i="2"/>
  <c r="C31" i="2"/>
  <c r="C30" i="2"/>
  <c r="C29" i="2"/>
  <c r="C28" i="2"/>
  <c r="C24" i="2"/>
  <c r="C23" i="2"/>
  <c r="C22" i="2"/>
  <c r="C21" i="2"/>
  <c r="C20" i="2"/>
  <c r="C19" i="2"/>
  <c r="C18" i="2"/>
  <c r="C17" i="2"/>
  <c r="C16" i="2"/>
  <c r="C15" i="2"/>
  <c r="C10" i="2"/>
  <c r="C9" i="2"/>
  <c r="C8" i="2"/>
  <c r="C7" i="2"/>
  <c r="C6" i="2"/>
  <c r="C5" i="2"/>
  <c r="C4" i="2"/>
  <c r="D27" i="2"/>
  <c r="D14" i="2"/>
  <c r="D3" i="2"/>
  <c r="A4" i="1"/>
</calcChain>
</file>

<file path=xl/sharedStrings.xml><?xml version="1.0" encoding="utf-8"?>
<sst xmlns="http://schemas.openxmlformats.org/spreadsheetml/2006/main" count="60" uniqueCount="37">
  <si>
    <t>身體組成檢測資料</t>
  </si>
  <si>
    <t>檢測日期</t>
  </si>
  <si>
    <t>體重</t>
  </si>
  <si>
    <t>骨骼肌重</t>
  </si>
  <si>
    <t>體脂肪重</t>
  </si>
  <si>
    <t>體脂肪率</t>
  </si>
  <si>
    <t>BMI</t>
  </si>
  <si>
    <t>基礎代謝率</t>
  </si>
  <si>
    <t>建議的熱量攝取</t>
  </si>
  <si>
    <t>部位別肌肉分析</t>
  </si>
  <si>
    <t>部位</t>
  </si>
  <si>
    <t>肌肉量</t>
  </si>
  <si>
    <t>百分比</t>
  </si>
  <si>
    <t>左臂</t>
  </si>
  <si>
    <t>右臂</t>
  </si>
  <si>
    <t>軀幹</t>
  </si>
  <si>
    <t>左腿</t>
  </si>
  <si>
    <t>右腿</t>
  </si>
  <si>
    <t>部位別脂肪分析</t>
  </si>
  <si>
    <t>脂肪量</t>
  </si>
  <si>
    <t>檢測項目</t>
  </si>
  <si>
    <t>左臂 - 肌肉量</t>
  </si>
  <si>
    <t>左臂 - 百分比</t>
  </si>
  <si>
    <t>右臂 - 肌肉量</t>
  </si>
  <si>
    <t>右臂 - 百分比</t>
  </si>
  <si>
    <t>軀幹 - 肌肉量</t>
  </si>
  <si>
    <t>軀幹 - 百分比</t>
  </si>
  <si>
    <t>左腿 - 肌肉量</t>
  </si>
  <si>
    <t>左腿 - 百分比</t>
  </si>
  <si>
    <t>右腿 - 肌肉量</t>
  </si>
  <si>
    <t>右腿 - 百分比</t>
  </si>
  <si>
    <t>左臂 - 脂肪量</t>
  </si>
  <si>
    <t>右臂 - 脂肪量</t>
  </si>
  <si>
    <t>軀幹 - 脂肪量</t>
  </si>
  <si>
    <t>左腿 - 脂肪量</t>
  </si>
  <si>
    <t>右腿 - 脂肪量</t>
  </si>
  <si>
    <t>InBody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</si>
</sst>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7" formatCode="0.0\ &quot;kg&quot;"/>
    <numFmt numFmtId="178" formatCode="0.0%"/>
    <numFmt numFmtId="179" formatCode="0.0"/>
    <numFmt numFmtId="180" formatCode="0\ &quot;kcal&quot;"/>
    <numFmt numFmtId="181" formatCode="0.00\ &quot;kg&quot;"/>
    <numFmt numFmtId="182" formatCode="yyyy/mm/dd"/>
    <numFmt numFmtId="183" formatCode="\+0.0\ &quot;kg&quot;;\-0.0\ &quot;kg&quot;;0.0\ &quot;kg&quot;"/>
    <numFmt numFmtId="184" formatCode="\+0.0%;\-0.0%;0.0%"/>
    <numFmt numFmtId="185" formatCode="\+0.0;\-0.0;0.0"/>
    <numFmt numFmtId="186" formatCode="\+0\ &quot;kcal&quot;;\-0\ &quot;kcal&quot;;0\ &quot;kcal&quot;"/>
    <numFmt numFmtId="187" formatCode="\+0.00\ &quot;kg&quot;;\-0.00\ &quot;kg&quot;;0.00\ &quot;kg&quot;"/>
  </numFmts>
  <fonts count="8">
    <font>
      <sz val="12"/>
      <color theme="1"/>
      <name val="新細明體"/>
      <family val="2"/>
      <charset val="136"/>
      <scheme val="minor"/>
    </font>
    <font>
      <b/>
      <sz val="12"/>
      <color rgb="FFFFFFFF"/>
      <name val="新細明體"/>
      <family val="2"/>
      <charset val="136"/>
      <scheme val="minor"/>
    </font>
    <font>
      <b/>
      <sz val="18"/>
      <color rgb="FFFFFFFF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b/>
      <sz val="13"/>
      <color rgb="FF17365D"/>
      <name val="Microsoft JhengHei"/>
      <family val="2"/>
      <charset val="136"/>
    </font>
    <font>
      <sz val="9"/>
      <name val="新細明體"/>
      <family val="2"/>
      <charset val="136"/>
      <scheme val="minor"/>
    </font>
    <font>
      <b/>
      <sz val="12"/>
      <color theme="1"/>
      <name val="Microsoft JhengHei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FFF7F2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F0D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0" fontId="4" fillId="4" borderId="0" xfId="0" applyFont="1" applyFill="1" applyBorder="1" applyAlignment="1">
      <alignment horizontal="center" vertical="center" wrapText="1"/>
    </xf>
    <xf numFmtId="0" fontId="5" fillId="3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/>
    </xf>
    <xf numFmtId="0" fontId="3" fillId="6" borderId="3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177" fontId="3" fillId="5" borderId="1" xfId="0" applyNumberFormat="1" applyFont="1" applyFill="1" applyBorder="1" applyAlignment="1">
      <alignment horizontal="right" vertical="center"/>
    </xf>
    <xf numFmtId="178" fontId="3" fillId="5" borderId="1" xfId="0" applyNumberFormat="1" applyFont="1" applyFill="1" applyBorder="1" applyAlignment="1">
      <alignment horizontal="right" vertical="center"/>
    </xf>
    <xf numFmtId="179" fontId="3" fillId="5" borderId="1" xfId="0" applyNumberFormat="1" applyFont="1" applyFill="1" applyBorder="1" applyAlignment="1">
      <alignment horizontal="right" vertical="center"/>
    </xf>
    <xf numFmtId="180" fontId="3" fillId="5" borderId="1" xfId="0" applyNumberFormat="1" applyFont="1" applyFill="1" applyBorder="1" applyAlignment="1">
      <alignment horizontal="right" vertical="center"/>
    </xf>
    <xf numFmtId="181" fontId="3" fillId="6" borderId="2" xfId="0" applyNumberFormat="1" applyFont="1" applyFill="1" applyBorder="1" applyAlignment="1">
      <alignment horizontal="right" vertical="center"/>
    </xf>
    <xf numFmtId="178" fontId="3" fillId="6" borderId="2" xfId="0" applyNumberFormat="1" applyFont="1" applyFill="1" applyBorder="1" applyAlignment="1">
      <alignment horizontal="right" vertical="center"/>
    </xf>
    <xf numFmtId="181" fontId="3" fillId="6" borderId="3" xfId="0" applyNumberFormat="1" applyFont="1" applyFill="1" applyBorder="1" applyAlignment="1">
      <alignment horizontal="right" vertical="center"/>
    </xf>
    <xf numFmtId="178" fontId="3" fillId="6" borderId="3" xfId="0" applyNumberFormat="1" applyFont="1" applyFill="1" applyBorder="1" applyAlignment="1">
      <alignment horizontal="right" vertical="center"/>
    </xf>
    <xf numFmtId="177" fontId="3" fillId="7" borderId="2" xfId="0" applyNumberFormat="1" applyFont="1" applyFill="1" applyBorder="1" applyAlignment="1">
      <alignment horizontal="right" vertical="center"/>
    </xf>
    <xf numFmtId="178" fontId="3" fillId="7" borderId="2" xfId="0" applyNumberFormat="1" applyFont="1" applyFill="1" applyBorder="1" applyAlignment="1">
      <alignment horizontal="right" vertical="center"/>
    </xf>
    <xf numFmtId="177" fontId="3" fillId="7" borderId="3" xfId="0" applyNumberFormat="1" applyFont="1" applyFill="1" applyBorder="1" applyAlignment="1">
      <alignment horizontal="right" vertical="center"/>
    </xf>
    <xf numFmtId="178" fontId="3" fillId="7" borderId="3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5" borderId="0" xfId="0" applyFont="1" applyFill="1">
      <alignment vertical="center"/>
    </xf>
    <xf numFmtId="177" fontId="3" fillId="5" borderId="0" xfId="0" applyNumberFormat="1" applyFont="1" applyFill="1">
      <alignment vertical="center"/>
    </xf>
    <xf numFmtId="178" fontId="3" fillId="5" borderId="0" xfId="0" applyNumberFormat="1" applyFont="1" applyFill="1">
      <alignment vertical="center"/>
    </xf>
    <xf numFmtId="179" fontId="3" fillId="5" borderId="0" xfId="0" applyNumberFormat="1" applyFont="1" applyFill="1">
      <alignment vertical="center"/>
    </xf>
    <xf numFmtId="180" fontId="3" fillId="5" borderId="0" xfId="0" applyNumberFormat="1" applyFont="1" applyFill="1">
      <alignment vertical="center"/>
    </xf>
    <xf numFmtId="0" fontId="3" fillId="6" borderId="0" xfId="0" applyFont="1" applyFill="1">
      <alignment vertical="center"/>
    </xf>
    <xf numFmtId="181" fontId="3" fillId="6" borderId="0" xfId="0" applyNumberFormat="1" applyFont="1" applyFill="1">
      <alignment vertical="center"/>
    </xf>
    <xf numFmtId="178" fontId="3" fillId="6" borderId="0" xfId="0" applyNumberFormat="1" applyFont="1" applyFill="1">
      <alignment vertical="center"/>
    </xf>
    <xf numFmtId="182" fontId="3" fillId="5" borderId="1" xfId="0" applyNumberFormat="1" applyFont="1" applyFill="1" applyBorder="1" applyAlignment="1">
      <alignment vertical="center"/>
    </xf>
    <xf numFmtId="182" fontId="4" fillId="4" borderId="0" xfId="0" applyNumberFormat="1" applyFont="1" applyFill="1" applyAlignment="1">
      <alignment horizontal="center" vertical="center"/>
    </xf>
    <xf numFmtId="182" fontId="4" fillId="8" borderId="0" xfId="0" applyNumberFormat="1" applyFont="1" applyFill="1" applyAlignment="1">
      <alignment horizontal="center" vertical="center"/>
    </xf>
    <xf numFmtId="183" fontId="7" fillId="9" borderId="0" xfId="0" applyNumberFormat="1" applyFont="1" applyFill="1">
      <alignment vertical="center"/>
    </xf>
    <xf numFmtId="184" fontId="7" fillId="9" borderId="0" xfId="0" applyNumberFormat="1" applyFont="1" applyFill="1">
      <alignment vertical="center"/>
    </xf>
    <xf numFmtId="185" fontId="7" fillId="9" borderId="0" xfId="0" applyNumberFormat="1" applyFont="1" applyFill="1">
      <alignment vertical="center"/>
    </xf>
    <xf numFmtId="186" fontId="7" fillId="9" borderId="0" xfId="0" applyNumberFormat="1" applyFont="1" applyFill="1">
      <alignment vertical="center"/>
    </xf>
    <xf numFmtId="187" fontId="7" fillId="9" borderId="0" xfId="0" applyNumberFormat="1" applyFont="1" applyFill="1">
      <alignment vertical="center"/>
    </xf>
    <xf numFmtId="182" fontId="1" fillId="4" borderId="0" xfId="0" applyNumberFormat="1" applyFont="1" applyFill="1" applyAlignment="1">
      <alignment horizontal="center" vertical="center"/>
    </xf>
    <xf numFmtId="177" fontId="0" fillId="5" borderId="0" xfId="0" applyNumberFormat="1" applyFill="1">
      <alignment vertical="center"/>
    </xf>
    <xf numFmtId="178" fontId="0" fillId="5" borderId="0" xfId="0" applyNumberFormat="1" applyFill="1">
      <alignment vertical="center"/>
    </xf>
    <xf numFmtId="179" fontId="0" fillId="5" borderId="0" xfId="0" applyNumberFormat="1" applyFill="1">
      <alignment vertical="center"/>
    </xf>
    <xf numFmtId="180" fontId="0" fillId="5" borderId="0" xfId="0" applyNumberFormat="1" applyFill="1">
      <alignment vertical="center"/>
    </xf>
    <xf numFmtId="181" fontId="0" fillId="6" borderId="0" xfId="0" applyNumberFormat="1" applyFill="1">
      <alignment vertical="center"/>
    </xf>
    <xf numFmtId="178" fontId="0" fillId="6" borderId="0" xfId="0" applyNumberFormat="1" applyFill="1">
      <alignment vertical="center"/>
    </xf>
    <xf numFmtId="177" fontId="3" fillId="6" borderId="0" xfId="0" applyNumberFormat="1" applyFont="1" applyFill="1">
      <alignment vertical="center"/>
    </xf>
    <xf numFmtId="177" fontId="0" fillId="6" borderId="0" xfId="0" applyNumberForma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01CE4-01C2-490C-B1AF-63F049EEEC60}">
  <dimension ref="A1:H20"/>
  <sheetViews>
    <sheetView workbookViewId="0">
      <selection activeCell="I29" sqref="I29"/>
    </sheetView>
  </sheetViews>
  <sheetFormatPr defaultRowHeight="17"/>
  <cols>
    <col min="1" max="1" width="20.36328125" customWidth="1"/>
    <col min="2" max="4" width="16" customWidth="1"/>
    <col min="5" max="6" width="13.81640625" customWidth="1"/>
    <col min="7" max="8" width="20.3632812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9" customHeight="1">
      <c r="A2" s="2"/>
      <c r="B2" s="2"/>
      <c r="C2" s="2"/>
      <c r="D2" s="2"/>
      <c r="E2" s="2"/>
      <c r="F2" s="2"/>
      <c r="G2" s="2"/>
      <c r="H2" s="2"/>
    </row>
    <row r="3" spans="1: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>
      <c r="A4" s="35">
        <f>DATE(2026,4,26)+TIME(10,46,0)</f>
        <v>46138.448611111111</v>
      </c>
      <c r="B4" s="12">
        <v>103.5</v>
      </c>
      <c r="C4" s="12">
        <v>34.5</v>
      </c>
      <c r="D4" s="12">
        <v>42.6</v>
      </c>
      <c r="E4" s="13">
        <v>0.41099999999999998</v>
      </c>
      <c r="F4" s="14">
        <v>35.799999999999997</v>
      </c>
      <c r="G4" s="15">
        <v>1686</v>
      </c>
      <c r="H4" s="15">
        <v>2589</v>
      </c>
    </row>
    <row r="5" spans="1:8">
      <c r="A5" s="6"/>
      <c r="B5" s="6"/>
      <c r="C5" s="6"/>
      <c r="D5" s="6"/>
      <c r="E5" s="6"/>
      <c r="F5" s="6"/>
      <c r="G5" s="6"/>
      <c r="H5" s="6"/>
    </row>
    <row r="6" spans="1:8">
      <c r="A6" s="7" t="s">
        <v>9</v>
      </c>
      <c r="B6" s="7"/>
      <c r="C6" s="7"/>
      <c r="D6" s="7"/>
      <c r="E6" s="7"/>
      <c r="F6" s="7"/>
      <c r="G6" s="7"/>
      <c r="H6" s="7"/>
    </row>
    <row r="7" spans="1:8">
      <c r="A7" s="5" t="s">
        <v>10</v>
      </c>
      <c r="B7" s="5" t="s">
        <v>11</v>
      </c>
      <c r="C7" s="5" t="s">
        <v>12</v>
      </c>
      <c r="E7" s="6"/>
      <c r="F7" s="6"/>
      <c r="G7" s="6"/>
      <c r="H7" s="6"/>
    </row>
    <row r="8" spans="1:8">
      <c r="A8" s="8" t="s">
        <v>13</v>
      </c>
      <c r="B8" s="16">
        <v>3.28</v>
      </c>
      <c r="C8" s="17">
        <v>0.93100000000000005</v>
      </c>
      <c r="E8" s="6"/>
      <c r="F8" s="6"/>
      <c r="G8" s="6"/>
      <c r="H8" s="6"/>
    </row>
    <row r="9" spans="1:8">
      <c r="A9" s="8" t="s">
        <v>14</v>
      </c>
      <c r="B9" s="16">
        <v>3.33</v>
      </c>
      <c r="C9" s="17">
        <v>0.94399999999999995</v>
      </c>
      <c r="E9" s="6"/>
      <c r="F9" s="6"/>
      <c r="G9" s="6"/>
      <c r="H9" s="6"/>
    </row>
    <row r="10" spans="1:8">
      <c r="A10" s="8" t="s">
        <v>15</v>
      </c>
      <c r="B10" s="16">
        <v>26.5</v>
      </c>
      <c r="C10" s="17">
        <v>0.94499999999999995</v>
      </c>
      <c r="E10" s="6"/>
      <c r="F10" s="6"/>
      <c r="G10" s="6"/>
      <c r="H10" s="6"/>
    </row>
    <row r="11" spans="1:8">
      <c r="A11" s="8" t="s">
        <v>16</v>
      </c>
      <c r="B11" s="16">
        <v>9.8699999999999992</v>
      </c>
      <c r="C11" s="17">
        <v>1.006</v>
      </c>
      <c r="E11" s="6"/>
      <c r="F11" s="6"/>
      <c r="G11" s="6"/>
      <c r="H11" s="6"/>
    </row>
    <row r="12" spans="1:8">
      <c r="A12" s="9" t="s">
        <v>17</v>
      </c>
      <c r="B12" s="18">
        <v>9.83</v>
      </c>
      <c r="C12" s="19">
        <v>1.002</v>
      </c>
      <c r="E12" s="6"/>
      <c r="F12" s="6"/>
      <c r="G12" s="6"/>
      <c r="H12" s="6"/>
    </row>
    <row r="13" spans="1:8">
      <c r="A13" s="6"/>
      <c r="B13" s="6"/>
      <c r="C13" s="6"/>
      <c r="D13" s="24"/>
      <c r="E13" s="6"/>
      <c r="F13" s="6"/>
      <c r="G13" s="6"/>
      <c r="H13" s="6"/>
    </row>
    <row r="14" spans="1:8">
      <c r="A14" s="7" t="s">
        <v>18</v>
      </c>
      <c r="B14" s="7"/>
      <c r="C14" s="7"/>
      <c r="D14" s="25"/>
      <c r="E14" s="7"/>
      <c r="F14" s="7"/>
      <c r="G14" s="7"/>
      <c r="H14" s="7"/>
    </row>
    <row r="15" spans="1:8">
      <c r="A15" s="5" t="s">
        <v>10</v>
      </c>
      <c r="B15" s="5" t="s">
        <v>19</v>
      </c>
      <c r="C15" s="5" t="s">
        <v>12</v>
      </c>
      <c r="E15" s="6"/>
      <c r="F15" s="6"/>
      <c r="G15" s="6"/>
      <c r="H15" s="6"/>
    </row>
    <row r="16" spans="1:8">
      <c r="A16" s="10" t="s">
        <v>13</v>
      </c>
      <c r="B16" s="20">
        <v>3.9</v>
      </c>
      <c r="C16" s="21">
        <v>6.7389999999999999</v>
      </c>
      <c r="E16" s="6"/>
      <c r="F16" s="6"/>
      <c r="G16" s="6"/>
      <c r="H16" s="6"/>
    </row>
    <row r="17" spans="1:8">
      <c r="A17" s="10" t="s">
        <v>14</v>
      </c>
      <c r="B17" s="20">
        <v>3.8</v>
      </c>
      <c r="C17" s="21">
        <v>6.6470000000000002</v>
      </c>
      <c r="E17" s="6"/>
      <c r="F17" s="6"/>
      <c r="G17" s="6"/>
      <c r="H17" s="6"/>
    </row>
    <row r="18" spans="1:8">
      <c r="A18" s="10" t="s">
        <v>15</v>
      </c>
      <c r="B18" s="20">
        <v>20.399999999999999</v>
      </c>
      <c r="C18" s="21">
        <v>5.0650000000000004</v>
      </c>
      <c r="E18" s="6"/>
      <c r="F18" s="6"/>
      <c r="G18" s="6"/>
      <c r="H18" s="6"/>
    </row>
    <row r="19" spans="1:8">
      <c r="A19" s="10" t="s">
        <v>16</v>
      </c>
      <c r="B19" s="20">
        <v>6.5</v>
      </c>
      <c r="C19" s="21">
        <v>3.9630000000000001</v>
      </c>
      <c r="E19" s="6"/>
      <c r="F19" s="6"/>
      <c r="G19" s="6"/>
      <c r="H19" s="6"/>
    </row>
    <row r="20" spans="1:8">
      <c r="A20" s="11" t="s">
        <v>17</v>
      </c>
      <c r="B20" s="22">
        <v>6.5</v>
      </c>
      <c r="C20" s="23">
        <v>3.96</v>
      </c>
      <c r="E20" s="6"/>
      <c r="F20" s="6"/>
      <c r="G20" s="6"/>
      <c r="H20" s="6"/>
    </row>
  </sheetData>
  <mergeCells count="3">
    <mergeCell ref="A1:H1"/>
    <mergeCell ref="A6:H6"/>
    <mergeCell ref="A14:H14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C33D-4D9B-4A9C-B50C-11F74222DC91}">
  <dimension ref="A1:H37"/>
  <sheetViews>
    <sheetView tabSelected="1" workbookViewId="0">
      <selection activeCell="K24" sqref="K24"/>
    </sheetView>
  </sheetViews>
  <sheetFormatPr defaultRowHeight="17"/>
  <cols>
    <col min="1" max="1" width="26.36328125" customWidth="1"/>
    <col min="2" max="2" width="17.7265625" customWidth="1"/>
    <col min="3" max="3" width="16.7265625" customWidth="1"/>
    <col min="4" max="4" width="19.08984375" customWidth="1"/>
    <col min="5" max="5" width="16.7265625" customWidth="1"/>
    <col min="6" max="6" width="19.08984375" customWidth="1"/>
    <col min="7" max="7" width="16.7265625" customWidth="1"/>
    <col min="8" max="8" width="19.08984375" customWidth="1"/>
  </cols>
  <sheetData>
    <row r="1" spans="1:8" ht="30" customHeight="1">
      <c r="A1" s="1" t="s">
        <v>36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</row>
    <row r="3" spans="1:8">
      <c r="A3" s="26" t="s">
        <v>20</v>
      </c>
      <c r="B3" s="36">
        <v>46138.448611111111</v>
      </c>
      <c r="C3" s="37"/>
      <c r="D3" s="36">
        <f>DATE(2026,6,12)</f>
        <v>46185</v>
      </c>
      <c r="E3" s="37"/>
      <c r="F3" s="36">
        <f>DATE(2026,7,31)</f>
        <v>46234</v>
      </c>
      <c r="G3" s="37"/>
      <c r="H3" s="43">
        <f>DATE(2026,9,11)</f>
        <v>46276</v>
      </c>
    </row>
    <row r="4" spans="1:8">
      <c r="A4" s="27" t="s">
        <v>2</v>
      </c>
      <c r="B4" s="28">
        <v>103.5</v>
      </c>
      <c r="C4" s="38">
        <f>IF(OR(B4="",D4=""),"",D4-B4)</f>
        <v>-4.5</v>
      </c>
      <c r="D4" s="28">
        <v>99</v>
      </c>
      <c r="E4" s="38">
        <f>IF(OR(D4="",F4=""),"",F4-D4)</f>
        <v>0.5</v>
      </c>
      <c r="F4" s="28">
        <v>99.5</v>
      </c>
      <c r="G4" s="38">
        <f>IF(OR(F4="",H4=""),"",H4-F4)</f>
        <v>1.5</v>
      </c>
      <c r="H4" s="44">
        <v>101</v>
      </c>
    </row>
    <row r="5" spans="1:8">
      <c r="A5" s="27" t="s">
        <v>3</v>
      </c>
      <c r="B5" s="28">
        <v>34.5</v>
      </c>
      <c r="C5" s="38">
        <f>IF(OR(B5="",D5=""),"",D5-B5)</f>
        <v>-0.10000000000000142</v>
      </c>
      <c r="D5" s="28">
        <v>34.4</v>
      </c>
      <c r="E5" s="38">
        <f>IF(OR(D5="",F5=""),"",F5-D5)</f>
        <v>0.70000000000000284</v>
      </c>
      <c r="F5" s="28">
        <v>35.1</v>
      </c>
      <c r="G5" s="38">
        <f>IF(OR(F5="",H5=""),"",H5-F5)</f>
        <v>0.60000000000000142</v>
      </c>
      <c r="H5" s="44">
        <v>35.700000000000003</v>
      </c>
    </row>
    <row r="6" spans="1:8">
      <c r="A6" s="27" t="s">
        <v>4</v>
      </c>
      <c r="B6" s="28">
        <v>42.6</v>
      </c>
      <c r="C6" s="38">
        <f>IF(OR(B6="",D6=""),"",D6-B6)</f>
        <v>-4.3999999999999986</v>
      </c>
      <c r="D6" s="28">
        <v>38.200000000000003</v>
      </c>
      <c r="E6" s="38">
        <f>IF(OR(D6="",F6=""),"",F6-D6)</f>
        <v>-0.90000000000000568</v>
      </c>
      <c r="F6" s="28">
        <v>37.299999999999997</v>
      </c>
      <c r="G6" s="38">
        <f>IF(OR(F6="",H6=""),"",H6-F6)</f>
        <v>0.5</v>
      </c>
      <c r="H6" s="44">
        <v>37.799999999999997</v>
      </c>
    </row>
    <row r="7" spans="1:8">
      <c r="A7" s="27" t="s">
        <v>5</v>
      </c>
      <c r="B7" s="29">
        <v>0.41099999999999998</v>
      </c>
      <c r="C7" s="39">
        <f>IF(OR(B7="",D7=""),"",D7-B7)</f>
        <v>-2.4999999999999967E-2</v>
      </c>
      <c r="D7" s="29">
        <v>0.38600000000000001</v>
      </c>
      <c r="E7" s="39">
        <f>IF(OR(D7="",F7=""),"",F7-D7)</f>
        <v>-1.100000000000001E-2</v>
      </c>
      <c r="F7" s="29">
        <v>0.375</v>
      </c>
      <c r="G7" s="39">
        <f>IF(OR(F7="",H7=""),"",H7-F7)</f>
        <v>-1.0000000000000009E-3</v>
      </c>
      <c r="H7" s="45">
        <v>0.374</v>
      </c>
    </row>
    <row r="8" spans="1:8">
      <c r="A8" s="27" t="s">
        <v>6</v>
      </c>
      <c r="B8" s="30">
        <v>35.799999999999997</v>
      </c>
      <c r="C8" s="40">
        <f>IF(OR(B8="",D8=""),"",D8-B8)</f>
        <v>-1.5</v>
      </c>
      <c r="D8" s="30">
        <v>34.299999999999997</v>
      </c>
      <c r="E8" s="40">
        <f>IF(OR(D8="",F8=""),"",F8-D8)</f>
        <v>0.10000000000000142</v>
      </c>
      <c r="F8" s="30">
        <v>34.4</v>
      </c>
      <c r="G8" s="40">
        <f>IF(OR(F8="",H8=""),"",H8-F8)</f>
        <v>0.5</v>
      </c>
      <c r="H8" s="46">
        <v>34.9</v>
      </c>
    </row>
    <row r="9" spans="1:8">
      <c r="A9" s="27" t="s">
        <v>7</v>
      </c>
      <c r="B9" s="31">
        <v>1686</v>
      </c>
      <c r="C9" s="41">
        <f>IF(OR(B9="",D9=""),"",D9-B9)</f>
        <v>-4</v>
      </c>
      <c r="D9" s="31">
        <v>1682</v>
      </c>
      <c r="E9" s="41">
        <f>IF(OR(D9="",F9=""),"",F9-D9)</f>
        <v>32</v>
      </c>
      <c r="F9" s="31">
        <v>1714</v>
      </c>
      <c r="G9" s="41">
        <f>IF(OR(F9="",H9=""),"",H9-F9)</f>
        <v>21</v>
      </c>
      <c r="H9" s="47">
        <v>1735</v>
      </c>
    </row>
    <row r="10" spans="1:8">
      <c r="A10" s="27" t="s">
        <v>8</v>
      </c>
      <c r="B10" s="31">
        <v>2589</v>
      </c>
      <c r="C10" s="41">
        <f>IF(OR(B10="",D10=""),"",D10-B10)</f>
        <v>-80</v>
      </c>
      <c r="D10" s="31">
        <v>2509</v>
      </c>
      <c r="E10" s="41">
        <f>IF(OR(D10="",F10=""),"",F10-D10)</f>
        <v>9</v>
      </c>
      <c r="F10" s="31">
        <v>2518</v>
      </c>
      <c r="G10" s="41">
        <f>IF(OR(F10="",H10=""),"",H10-F10)</f>
        <v>17</v>
      </c>
      <c r="H10" s="47">
        <v>2535</v>
      </c>
    </row>
    <row r="11" spans="1:8">
      <c r="A11" s="2"/>
      <c r="B11" s="2"/>
      <c r="C11" s="2"/>
      <c r="D11" s="2"/>
      <c r="E11" s="2"/>
      <c r="F11" s="2"/>
      <c r="G11" s="2"/>
    </row>
    <row r="12" spans="1:8">
      <c r="A12" s="2"/>
      <c r="B12" s="2"/>
      <c r="C12" s="2"/>
      <c r="D12" s="2"/>
      <c r="E12" s="2"/>
      <c r="F12" s="2"/>
      <c r="G12" s="2"/>
    </row>
    <row r="13" spans="1:8" ht="24" customHeight="1">
      <c r="A13" s="4" t="s">
        <v>9</v>
      </c>
      <c r="B13" s="4"/>
      <c r="C13" s="4"/>
      <c r="D13" s="4"/>
      <c r="E13" s="4"/>
      <c r="F13" s="4"/>
      <c r="G13" s="4"/>
      <c r="H13" s="4"/>
    </row>
    <row r="14" spans="1:8">
      <c r="A14" s="26" t="s">
        <v>20</v>
      </c>
      <c r="B14" s="36">
        <v>46138.448611111096</v>
      </c>
      <c r="C14" s="37"/>
      <c r="D14" s="36">
        <f>DATE(2026,6,12)</f>
        <v>46185</v>
      </c>
      <c r="E14" s="37"/>
      <c r="F14" s="36">
        <f>DATE(2026,7,31)</f>
        <v>46234</v>
      </c>
      <c r="G14" s="37"/>
      <c r="H14" s="43">
        <f>DATE(2026,9,11)</f>
        <v>46276</v>
      </c>
    </row>
    <row r="15" spans="1:8">
      <c r="A15" s="32" t="s">
        <v>21</v>
      </c>
      <c r="B15" s="33">
        <v>3.28</v>
      </c>
      <c r="C15" s="42">
        <f>IF(OR(B15="",D15=""),"",D15-B15)</f>
        <v>-5.9999999999999609E-2</v>
      </c>
      <c r="D15" s="33">
        <v>3.22</v>
      </c>
      <c r="E15" s="42">
        <f>IF(OR(D15="",F15=""),"",F15-D15)</f>
        <v>0.10999999999999988</v>
      </c>
      <c r="F15" s="33">
        <v>3.33</v>
      </c>
      <c r="G15" s="42">
        <f>IF(OR(F15="",H15=""),"",H15-F15)</f>
        <v>4.0000000000000036E-2</v>
      </c>
      <c r="H15" s="48">
        <v>3.37</v>
      </c>
    </row>
    <row r="16" spans="1:8">
      <c r="A16" s="32" t="s">
        <v>22</v>
      </c>
      <c r="B16" s="34">
        <v>0.93100000000000005</v>
      </c>
      <c r="C16" s="39">
        <f>IF(OR(B16="",D16=""),"",D16-B16)</f>
        <v>-4.0000000000000036E-3</v>
      </c>
      <c r="D16" s="34">
        <v>0.92700000000000005</v>
      </c>
      <c r="E16" s="39">
        <f>IF(OR(D16="",F16=""),"",F16-D16)</f>
        <v>2.9999999999999916E-2</v>
      </c>
      <c r="F16" s="34">
        <v>0.95699999999999996</v>
      </c>
      <c r="G16" s="39">
        <f>IF(OR(F16="",H16=""),"",H16-F16)</f>
        <v>6.0000000000000053E-3</v>
      </c>
      <c r="H16" s="49">
        <v>0.96299999999999997</v>
      </c>
    </row>
    <row r="17" spans="1:8">
      <c r="A17" s="32" t="s">
        <v>23</v>
      </c>
      <c r="B17" s="33">
        <v>3.33</v>
      </c>
      <c r="C17" s="42">
        <f>IF(OR(B17="",D17=""),"",D17-B17)</f>
        <v>-5.0000000000000266E-2</v>
      </c>
      <c r="D17" s="33">
        <v>3.28</v>
      </c>
      <c r="E17" s="42">
        <f>IF(OR(D17="",F17=""),"",F17-D17)</f>
        <v>0.12000000000000011</v>
      </c>
      <c r="F17" s="33">
        <v>3.4</v>
      </c>
      <c r="G17" s="42">
        <f>IF(OR(F17="",H17=""),"",H17-F17)</f>
        <v>5.0000000000000266E-2</v>
      </c>
      <c r="H17" s="48">
        <v>3.45</v>
      </c>
    </row>
    <row r="18" spans="1:8">
      <c r="A18" s="32" t="s">
        <v>24</v>
      </c>
      <c r="B18" s="34">
        <v>0.94399999999999995</v>
      </c>
      <c r="C18" s="39">
        <f>IF(OR(B18="",D18=""),"",D18-B18)</f>
        <v>0</v>
      </c>
      <c r="D18" s="34">
        <v>0.94399999999999995</v>
      </c>
      <c r="E18" s="39">
        <f>IF(OR(D18="",F18=""),"",F18-D18)</f>
        <v>3.3000000000000029E-2</v>
      </c>
      <c r="F18" s="34">
        <v>0.97699999999999998</v>
      </c>
      <c r="G18" s="39">
        <f>IF(OR(F18="",H18=""),"",H18-F18)</f>
        <v>9.000000000000008E-3</v>
      </c>
      <c r="H18" s="49">
        <v>0.98599999999999999</v>
      </c>
    </row>
    <row r="19" spans="1:8">
      <c r="A19" s="32" t="s">
        <v>25</v>
      </c>
      <c r="B19" s="33">
        <v>26.5</v>
      </c>
      <c r="C19" s="42">
        <f>IF(OR(B19="",D19=""),"",D19-B19)</f>
        <v>-0.30000000000000071</v>
      </c>
      <c r="D19" s="33">
        <v>26.2</v>
      </c>
      <c r="E19" s="42">
        <f>IF(OR(D19="",F19=""),"",F19-D19)</f>
        <v>0.5</v>
      </c>
      <c r="F19" s="33">
        <v>26.7</v>
      </c>
      <c r="G19" s="42">
        <f>IF(OR(F19="",H19=""),"",H19-F19)</f>
        <v>0.19999999999999929</v>
      </c>
      <c r="H19" s="48">
        <v>26.9</v>
      </c>
    </row>
    <row r="20" spans="1:8">
      <c r="A20" s="32" t="s">
        <v>26</v>
      </c>
      <c r="B20" s="34">
        <v>0.94499999999999995</v>
      </c>
      <c r="C20" s="39">
        <f>IF(OR(B20="",D20=""),"",D20-B20)</f>
        <v>2.0000000000000018E-3</v>
      </c>
      <c r="D20" s="34">
        <v>0.94699999999999995</v>
      </c>
      <c r="E20" s="39">
        <f>IF(OR(D20="",F20=""),"",F20-D20)</f>
        <v>1.6000000000000014E-2</v>
      </c>
      <c r="F20" s="34">
        <v>0.96299999999999997</v>
      </c>
      <c r="G20" s="39">
        <f>IF(OR(F20="",H20=""),"",H20-F20)</f>
        <v>2.0000000000000018E-3</v>
      </c>
      <c r="H20" s="49">
        <v>0.96499999999999997</v>
      </c>
    </row>
    <row r="21" spans="1:8">
      <c r="A21" s="32" t="s">
        <v>27</v>
      </c>
      <c r="B21" s="33">
        <v>9.8699999999999992</v>
      </c>
      <c r="C21" s="42">
        <f>IF(OR(B21="",D21=""),"",D21-B21)</f>
        <v>4.0000000000000924E-2</v>
      </c>
      <c r="D21" s="33">
        <v>9.91</v>
      </c>
      <c r="E21" s="42">
        <f>IF(OR(D21="",F21=""),"",F21-D21)</f>
        <v>-0.24000000000000021</v>
      </c>
      <c r="F21" s="33">
        <v>9.67</v>
      </c>
      <c r="G21" s="42">
        <f>IF(OR(F21="",H21=""),"",H21-F21)</f>
        <v>0.10999999999999943</v>
      </c>
      <c r="H21" s="48">
        <v>9.7799999999999994</v>
      </c>
    </row>
    <row r="22" spans="1:8">
      <c r="A22" s="32" t="s">
        <v>28</v>
      </c>
      <c r="B22" s="34">
        <v>1.006</v>
      </c>
      <c r="C22" s="39">
        <f>IF(OR(B22="",D22=""),"",D22-B22)</f>
        <v>2.0000000000000018E-2</v>
      </c>
      <c r="D22" s="34">
        <v>1.026</v>
      </c>
      <c r="E22" s="39">
        <f>IF(OR(D22="",F22=""),"",F22-D22)</f>
        <v>-2.7000000000000024E-2</v>
      </c>
      <c r="F22" s="34">
        <v>0.999</v>
      </c>
      <c r="G22" s="39">
        <f>IF(OR(F22="",H22=""),"",H22-F22)</f>
        <v>5.9999999999998943E-3</v>
      </c>
      <c r="H22" s="49">
        <v>1.0049999999999999</v>
      </c>
    </row>
    <row r="23" spans="1:8">
      <c r="A23" s="32" t="s">
        <v>29</v>
      </c>
      <c r="B23" s="33">
        <v>9.83</v>
      </c>
      <c r="C23" s="42">
        <f>IF(OR(B23="",D23=""),"",D23-B23)</f>
        <v>7.0000000000000284E-2</v>
      </c>
      <c r="D23" s="33">
        <v>9.9</v>
      </c>
      <c r="E23" s="42">
        <f>IF(OR(D23="",F23=""),"",F23-D23)</f>
        <v>-0.36000000000000121</v>
      </c>
      <c r="F23" s="33">
        <v>9.5399999999999991</v>
      </c>
      <c r="G23" s="42">
        <f>IF(OR(F23="",H23=""),"",H23-F23)</f>
        <v>0.19000000000000128</v>
      </c>
      <c r="H23" s="48">
        <v>9.73</v>
      </c>
    </row>
    <row r="24" spans="1:8">
      <c r="A24" s="32" t="s">
        <v>30</v>
      </c>
      <c r="B24" s="34">
        <v>1.002</v>
      </c>
      <c r="C24" s="39">
        <f>IF(OR(B24="",D24=""),"",D24-B24)</f>
        <v>2.2999999999999909E-2</v>
      </c>
      <c r="D24" s="34">
        <v>1.0249999999999999</v>
      </c>
      <c r="E24" s="39">
        <f>IF(OR(D24="",F24=""),"",F24-D24)</f>
        <v>-3.8999999999999924E-2</v>
      </c>
      <c r="F24" s="34">
        <v>0.98599999999999999</v>
      </c>
      <c r="G24" s="39">
        <f>IF(OR(F24="",H24=""),"",H24-F24)</f>
        <v>1.4000000000000012E-2</v>
      </c>
      <c r="H24" s="49">
        <v>1</v>
      </c>
    </row>
    <row r="25" spans="1:8">
      <c r="A25" s="2"/>
      <c r="B25" s="2"/>
      <c r="C25" s="2"/>
      <c r="D25" s="2"/>
      <c r="E25" s="2"/>
      <c r="F25" s="2"/>
      <c r="G25" s="2"/>
    </row>
    <row r="26" spans="1:8" ht="24" customHeight="1">
      <c r="A26" s="4" t="s">
        <v>18</v>
      </c>
      <c r="B26" s="4"/>
      <c r="C26" s="4"/>
      <c r="D26" s="4"/>
      <c r="E26" s="4"/>
      <c r="F26" s="4"/>
      <c r="G26" s="4"/>
      <c r="H26" s="4"/>
    </row>
    <row r="27" spans="1:8">
      <c r="A27" s="26" t="s">
        <v>20</v>
      </c>
      <c r="B27" s="36">
        <v>46138.448611111096</v>
      </c>
      <c r="C27" s="37"/>
      <c r="D27" s="36">
        <f>DATE(2026,6,12)</f>
        <v>46185</v>
      </c>
      <c r="E27" s="37"/>
      <c r="F27" s="36">
        <f>DATE(2026,7,31)</f>
        <v>46234</v>
      </c>
      <c r="G27" s="37"/>
      <c r="H27" s="43">
        <f>DATE(2026,9,11)</f>
        <v>46276</v>
      </c>
    </row>
    <row r="28" spans="1:8">
      <c r="A28" s="32" t="s">
        <v>31</v>
      </c>
      <c r="B28" s="50">
        <v>3.9</v>
      </c>
      <c r="C28" s="38">
        <f>IF(OR(B28="",D28=""),"",D28-B28)</f>
        <v>-0.69999999999999973</v>
      </c>
      <c r="D28" s="50">
        <v>3.2</v>
      </c>
      <c r="E28" s="38">
        <f>IF(OR(D28="",F28=""),"",F28-D28)</f>
        <v>-0.10000000000000009</v>
      </c>
      <c r="F28" s="50">
        <v>3.1</v>
      </c>
      <c r="G28" s="38">
        <f>IF(OR(F28="",H28=""),"",H28-F28)</f>
        <v>0.10000000000000009</v>
      </c>
      <c r="H28" s="51">
        <v>3.2</v>
      </c>
    </row>
    <row r="29" spans="1:8">
      <c r="A29" s="32" t="s">
        <v>22</v>
      </c>
      <c r="B29" s="34">
        <v>6.7389999999999999</v>
      </c>
      <c r="C29" s="39">
        <f>IF(OR(B29="",D29=""),"",D29-B29)</f>
        <v>-1.1100000000000003</v>
      </c>
      <c r="D29" s="34">
        <v>5.6289999999999996</v>
      </c>
      <c r="E29" s="39">
        <f>IF(OR(D29="",F29=""),"",F29-D29)</f>
        <v>-0.15499999999999936</v>
      </c>
      <c r="F29" s="34">
        <v>5.4740000000000002</v>
      </c>
      <c r="G29" s="39">
        <f>IF(OR(F29="",H29=""),"",H29-F29)</f>
        <v>0.125</v>
      </c>
      <c r="H29" s="49">
        <v>5.5990000000000002</v>
      </c>
    </row>
    <row r="30" spans="1:8">
      <c r="A30" s="32" t="s">
        <v>32</v>
      </c>
      <c r="B30" s="50">
        <v>3.8</v>
      </c>
      <c r="C30" s="38">
        <f>IF(OR(B30="",D30=""),"",D30-B30)</f>
        <v>-0.59999999999999964</v>
      </c>
      <c r="D30" s="50">
        <v>3.2</v>
      </c>
      <c r="E30" s="38">
        <f>IF(OR(D30="",F30=""),"",F30-D30)</f>
        <v>-0.10000000000000009</v>
      </c>
      <c r="F30" s="50">
        <v>3.1</v>
      </c>
      <c r="G30" s="38">
        <f>IF(OR(F30="",H30=""),"",H30-F30)</f>
        <v>0</v>
      </c>
      <c r="H30" s="51">
        <v>3.1</v>
      </c>
    </row>
    <row r="31" spans="1:8">
      <c r="A31" s="32" t="s">
        <v>24</v>
      </c>
      <c r="B31" s="34">
        <v>6.6470000000000002</v>
      </c>
      <c r="C31" s="39">
        <f>IF(OR(B31="",D31=""),"",D31-B31)</f>
        <v>-1.0950000000000006</v>
      </c>
      <c r="D31" s="34">
        <v>5.5519999999999996</v>
      </c>
      <c r="E31" s="39">
        <f>IF(OR(D31="",F31=""),"",F31-D31)</f>
        <v>-0.14999999999999947</v>
      </c>
      <c r="F31" s="34">
        <v>5.4020000000000001</v>
      </c>
      <c r="G31" s="39">
        <f>IF(OR(F31="",H31=""),"",H31-F31)</f>
        <v>0.10099999999999998</v>
      </c>
      <c r="H31" s="49">
        <v>5.5030000000000001</v>
      </c>
    </row>
    <row r="32" spans="1:8">
      <c r="A32" s="32" t="s">
        <v>33</v>
      </c>
      <c r="B32" s="50">
        <v>20.399999999999999</v>
      </c>
      <c r="C32" s="38">
        <f>IF(OR(B32="",D32=""),"",D32-B32)</f>
        <v>-1.8999999999999986</v>
      </c>
      <c r="D32" s="50">
        <v>18.5</v>
      </c>
      <c r="E32" s="38">
        <f>IF(OR(D32="",F32=""),"",F32-D32)</f>
        <v>0.10000000000000142</v>
      </c>
      <c r="F32" s="50">
        <v>18.600000000000001</v>
      </c>
      <c r="G32" s="38">
        <f>IF(OR(F32="",H32=""),"",H32-F32)</f>
        <v>0.19999999999999929</v>
      </c>
      <c r="H32" s="51">
        <v>18.8</v>
      </c>
    </row>
    <row r="33" spans="1:8">
      <c r="A33" s="32" t="s">
        <v>26</v>
      </c>
      <c r="B33" s="34">
        <v>5.0650000000000004</v>
      </c>
      <c r="C33" s="39">
        <f>IF(OR(B33="",D33=""),"",D33-B33)</f>
        <v>-0.45999999999999996</v>
      </c>
      <c r="D33" s="34">
        <v>4.6050000000000004</v>
      </c>
      <c r="E33" s="39">
        <f>IF(OR(D33="",F33=""),"",F33-D33)</f>
        <v>1.9999999999999574E-2</v>
      </c>
      <c r="F33" s="34">
        <v>4.625</v>
      </c>
      <c r="G33" s="39">
        <f>IF(OR(F33="",H33=""),"",H33-F33)</f>
        <v>3.8000000000000256E-2</v>
      </c>
      <c r="H33" s="49">
        <v>4.6630000000000003</v>
      </c>
    </row>
    <row r="34" spans="1:8">
      <c r="A34" s="32" t="s">
        <v>34</v>
      </c>
      <c r="B34" s="50">
        <v>6.5</v>
      </c>
      <c r="C34" s="38">
        <f>IF(OR(B34="",D34=""),"",D34-B34)</f>
        <v>-0.59999999999999964</v>
      </c>
      <c r="D34" s="50">
        <v>5.9</v>
      </c>
      <c r="E34" s="38">
        <f>IF(OR(D34="",F34=""),"",F34-D34)</f>
        <v>-0.40000000000000036</v>
      </c>
      <c r="F34" s="50">
        <v>5.5</v>
      </c>
      <c r="G34" s="38">
        <f>IF(OR(F34="",H34=""),"",H34-F34)</f>
        <v>9.9999999999999645E-2</v>
      </c>
      <c r="H34" s="51">
        <v>5.6</v>
      </c>
    </row>
    <row r="35" spans="1:8">
      <c r="A35" s="32" t="s">
        <v>28</v>
      </c>
      <c r="B35" s="34">
        <v>3.9630000000000001</v>
      </c>
      <c r="C35" s="39">
        <f>IF(OR(B35="",D35=""),"",D35-B35)</f>
        <v>-0.34100000000000019</v>
      </c>
      <c r="D35" s="34">
        <v>3.6219999999999999</v>
      </c>
      <c r="E35" s="39">
        <f>IF(OR(D35="",F35=""),"",F35-D35)</f>
        <v>-0.26600000000000001</v>
      </c>
      <c r="F35" s="34">
        <v>3.3559999999999999</v>
      </c>
      <c r="G35" s="39">
        <f>IF(OR(F35="",H35=""),"",H35-F35)</f>
        <v>7.2999999999999954E-2</v>
      </c>
      <c r="H35" s="49">
        <v>3.4289999999999998</v>
      </c>
    </row>
    <row r="36" spans="1:8">
      <c r="A36" s="32" t="s">
        <v>35</v>
      </c>
      <c r="B36" s="50">
        <v>6.5</v>
      </c>
      <c r="C36" s="38">
        <f>IF(OR(B36="",D36=""),"",D36-B36)</f>
        <v>-0.59999999999999964</v>
      </c>
      <c r="D36" s="50">
        <v>5.9</v>
      </c>
      <c r="E36" s="38">
        <f>IF(OR(D36="",F36=""),"",F36-D36)</f>
        <v>-0.40000000000000036</v>
      </c>
      <c r="F36" s="50">
        <v>5.5</v>
      </c>
      <c r="G36" s="38">
        <f>IF(OR(F36="",H36=""),"",H36-F36)</f>
        <v>9.9999999999999645E-2</v>
      </c>
      <c r="H36" s="51">
        <v>5.6</v>
      </c>
    </row>
    <row r="37" spans="1:8">
      <c r="A37" s="32" t="s">
        <v>30</v>
      </c>
      <c r="B37" s="34">
        <v>3.96</v>
      </c>
      <c r="C37" s="39">
        <f>IF(OR(B37="",D37=""),"",D37-B37)</f>
        <v>-0.34600000000000009</v>
      </c>
      <c r="D37" s="34">
        <v>3.6139999999999999</v>
      </c>
      <c r="E37" s="39">
        <f>IF(OR(D37="",F37=""),"",F37-D37)</f>
        <v>-0.26899999999999968</v>
      </c>
      <c r="F37" s="34">
        <v>3.3450000000000002</v>
      </c>
      <c r="G37" s="39">
        <f>IF(OR(F37="",H37=""),"",H37-F37)</f>
        <v>7.7999999999999847E-2</v>
      </c>
      <c r="H37" s="49">
        <v>3.423</v>
      </c>
    </row>
  </sheetData>
  <mergeCells count="3">
    <mergeCell ref="A13:H13"/>
    <mergeCell ref="A26:H26"/>
    <mergeCell ref="A1:H1"/>
  </mergeCells>
  <phoneticPr fontId="6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身體組成檢測</vt:lpstr>
      <vt:lpstr>時期比較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Tsai (AMI US Holdings Inc)</dc:creator>
  <cp:lastModifiedBy>Jun Tsai (AMI US Holdings Inc)</cp:lastModifiedBy>
  <dcterms:created xsi:type="dcterms:W3CDTF">2026-09-11T09:34:47Z</dcterms:created>
  <dcterms:modified xsi:type="dcterms:W3CDTF">2026-09-11T10:05:23Z</dcterms:modified>
</cp:coreProperties>
</file>